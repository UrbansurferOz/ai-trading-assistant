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nathong/Downloads/"/>
    </mc:Choice>
  </mc:AlternateContent>
  <xr:revisionPtr revIDLastSave="0" documentId="13_ncr:1_{2C2CDBC9-C5F8-6443-B535-5BADA0CAE9EB}" xr6:coauthVersionLast="47" xr6:coauthVersionMax="47" xr10:uidLastSave="{00000000-0000-0000-0000-000000000000}"/>
  <bookViews>
    <workbookView xWindow="21240" yWindow="4960" windowWidth="27180" windowHeight="17880" xr2:uid="{3CCA1153-181E-2245-B115-438BEEC944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9" i="1" l="1"/>
  <c r="I20" i="1"/>
  <c r="I21" i="1"/>
  <c r="I22" i="1"/>
  <c r="I23" i="1"/>
  <c r="H19" i="1"/>
  <c r="H20" i="1"/>
  <c r="H21" i="1"/>
  <c r="H22" i="1"/>
  <c r="H23" i="1"/>
  <c r="B14" i="1" l="1"/>
  <c r="B12" i="1"/>
  <c r="B8" i="1" l="1"/>
  <c r="F23" i="1" l="1"/>
  <c r="F20" i="1"/>
  <c r="F21" i="1"/>
  <c r="F22" i="1"/>
  <c r="F19" i="1"/>
  <c r="B16" i="1"/>
  <c r="E22" i="1" l="1"/>
  <c r="G22" i="1" s="1"/>
  <c r="E19" i="1"/>
  <c r="G19" i="1" s="1"/>
  <c r="E23" i="1"/>
  <c r="E20" i="1"/>
  <c r="G20" i="1" s="1"/>
  <c r="E21" i="1"/>
  <c r="G21" i="1" s="1"/>
  <c r="G23" i="1"/>
</calcChain>
</file>

<file path=xl/sharedStrings.xml><?xml version="1.0" encoding="utf-8"?>
<sst xmlns="http://schemas.openxmlformats.org/spreadsheetml/2006/main" count="16" uniqueCount="16">
  <si>
    <t>Account Size</t>
  </si>
  <si>
    <t>Risk % Account</t>
  </si>
  <si>
    <t>Risk per trade</t>
  </si>
  <si>
    <t>Entry Price</t>
  </si>
  <si>
    <t>Stop Loss (as decimal)</t>
  </si>
  <si>
    <t>Position Size (number of contracts you purchase)</t>
  </si>
  <si>
    <t>Leverage</t>
  </si>
  <si>
    <t>Take Profit Price</t>
  </si>
  <si>
    <t>Profit as decimal</t>
  </si>
  <si>
    <t>ROI</t>
  </si>
  <si>
    <t>PNL (How much you will make)</t>
  </si>
  <si>
    <t>Margin (How much it cost you to enter)</t>
  </si>
  <si>
    <t>Stop Loss Price</t>
  </si>
  <si>
    <t>ENTER YOUR VALUES IN THE BLUE BOXES TO SEE THE RELATIONSHIP BETWEEN LEVERAGE/ MARGIN/ PNL</t>
  </si>
  <si>
    <t>LIQUIDATION PRICE</t>
  </si>
  <si>
    <t>LIQUIDATED?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</si>
</sst>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9DD0D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9DD0D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DD0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44" fontId="5" fillId="2" borderId="1" xfId="1" applyFont="1" applyFill="1" applyBorder="1"/>
    <xf numFmtId="9" fontId="5" fillId="2" borderId="1" xfId="2" applyFont="1" applyFill="1" applyBorder="1"/>
    <xf numFmtId="0" fontId="5" fillId="0" borderId="0" xfId="0" applyFont="1"/>
    <xf numFmtId="0" fontId="5" fillId="2" borderId="1" xfId="0" applyFont="1" applyFill="1" applyBorder="1"/>
    <xf numFmtId="44" fontId="4" fillId="0" borderId="0" xfId="0" applyNumberFormat="1" applyFont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4" fontId="5" fillId="0" borderId="1" xfId="0" applyNumberFormat="1" applyFont="1" applyBorder="1"/>
    <xf numFmtId="10" fontId="5" fillId="0" borderId="1" xfId="2" applyNumberFormat="1" applyFont="1" applyBorder="1"/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4" fontId="4" fillId="0" borderId="0" xfId="1" applyFont="1"/>
    <xf numFmtId="0" fontId="4" fillId="0" borderId="1" xfId="0" applyFont="1" applyFill="1" applyBorder="1" applyAlignment="1">
      <alignment horizontal="center" vertical="center" wrapText="1"/>
    </xf>
    <xf numFmtId="44" fontId="5" fillId="0" borderId="1" xfId="1" applyFont="1" applyBorder="1"/>
    <xf numFmtId="0" fontId="5" fillId="0" borderId="1" xfId="0" applyFont="1" applyBorder="1"/>
  </cellXfs>
  <cellStyles count="3">
    <cellStyle name="Currency" xfId="1" builtinId="4"/>
    <cellStyle name="Normal" xfId="0" builtinId="0"/>
    <cellStyle name="Per 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DD0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FB1B-EAE4-0849-843B-74C9E8AECD00}">
  <dimension ref="A1:J23"/>
  <sheetViews>
    <sheetView tabSelected="1" workbookViewId="0">
      <selection activeCell="E10" sqref="E10"/>
    </sheetView>
  </sheetViews>
  <sheetFormatPr baseColWidth="10" defaultRowHeight="16" x14ac:dyDescent="0.2"/>
  <cols>
    <col min="1" max="1" width="23.1640625" customWidth="1"/>
    <col min="2" max="2" width="14.83203125" customWidth="1"/>
    <col min="5" max="5" width="20.83203125" customWidth="1"/>
    <col min="7" max="7" width="21.6640625" customWidth="1"/>
    <col min="8" max="8" width="15.33203125" customWidth="1"/>
    <col min="9" max="9" width="16" customWidth="1"/>
  </cols>
  <sheetData>
    <row r="1" spans="1:10" ht="54" customHeight="1" x14ac:dyDescent="0.2">
      <c r="B1" s="12" t="s">
        <v>13</v>
      </c>
      <c r="C1" s="13"/>
      <c r="D1" s="13"/>
      <c r="E1" s="13"/>
      <c r="F1" s="13"/>
      <c r="G1" s="13"/>
      <c r="H1" s="13"/>
      <c r="I1" s="13"/>
      <c r="J1" s="13"/>
    </row>
    <row r="4" spans="1:10" x14ac:dyDescent="0.2">
      <c r="A4" s="1"/>
    </row>
    <row r="5" spans="1:10" ht="19" x14ac:dyDescent="0.25">
      <c r="A5" s="2" t="s">
        <v>0</v>
      </c>
      <c r="B5" s="3">
        <v>1000</v>
      </c>
    </row>
    <row r="6" spans="1:10" ht="19" x14ac:dyDescent="0.25">
      <c r="A6" s="2" t="s">
        <v>1</v>
      </c>
      <c r="B6" s="4">
        <v>0.01</v>
      </c>
    </row>
    <row r="7" spans="1:10" ht="19" x14ac:dyDescent="0.25">
      <c r="A7" s="5"/>
      <c r="B7" s="5"/>
    </row>
    <row r="8" spans="1:10" ht="19" x14ac:dyDescent="0.25">
      <c r="A8" s="2" t="s">
        <v>2</v>
      </c>
      <c r="B8" s="14">
        <f>B6*B5</f>
        <v>10</v>
      </c>
    </row>
    <row r="9" spans="1:10" ht="19" x14ac:dyDescent="0.25">
      <c r="A9" s="5"/>
      <c r="B9" s="5"/>
    </row>
    <row r="10" spans="1:10" ht="19" x14ac:dyDescent="0.25">
      <c r="A10" s="2" t="s">
        <v>3</v>
      </c>
      <c r="B10" s="6">
        <v>1500</v>
      </c>
    </row>
    <row r="11" spans="1:10" ht="19" x14ac:dyDescent="0.25">
      <c r="A11" s="2" t="s">
        <v>12</v>
      </c>
      <c r="B11" s="6">
        <v>1550</v>
      </c>
    </row>
    <row r="12" spans="1:10" ht="19" x14ac:dyDescent="0.25">
      <c r="A12" s="2" t="s">
        <v>4</v>
      </c>
      <c r="B12" s="5">
        <f>IF(B10&gt;B11,(B10-B11)/B10,(B11-B10)/B10)</f>
        <v>3.3333333333333333E-2</v>
      </c>
    </row>
    <row r="13" spans="1:10" ht="19" x14ac:dyDescent="0.25">
      <c r="A13" s="2" t="s">
        <v>7</v>
      </c>
      <c r="B13" s="6">
        <v>1450</v>
      </c>
    </row>
    <row r="14" spans="1:10" ht="19" x14ac:dyDescent="0.25">
      <c r="A14" s="2" t="s">
        <v>8</v>
      </c>
      <c r="B14" s="5">
        <f>IF((B10&lt;B13),(B13-B10)/B10,(B10-B13)/B10)</f>
        <v>3.3333333333333333E-2</v>
      </c>
    </row>
    <row r="15" spans="1:10" ht="19" x14ac:dyDescent="0.25">
      <c r="A15" s="5"/>
      <c r="B15" s="5"/>
    </row>
    <row r="16" spans="1:10" ht="59" customHeight="1" x14ac:dyDescent="0.25">
      <c r="A16" s="8" t="s">
        <v>5</v>
      </c>
      <c r="B16" s="7">
        <f>B8/B12</f>
        <v>300</v>
      </c>
    </row>
    <row r="18" spans="4:9" ht="41" customHeight="1" x14ac:dyDescent="0.2">
      <c r="D18" s="9" t="s">
        <v>6</v>
      </c>
      <c r="E18" s="9" t="s">
        <v>11</v>
      </c>
      <c r="F18" s="9" t="s">
        <v>9</v>
      </c>
      <c r="G18" s="9" t="s">
        <v>10</v>
      </c>
      <c r="H18" s="15" t="s">
        <v>14</v>
      </c>
      <c r="I18" s="15" t="s">
        <v>15</v>
      </c>
    </row>
    <row r="19" spans="4:9" ht="19" x14ac:dyDescent="0.25">
      <c r="D19" s="6">
        <v>1</v>
      </c>
      <c r="E19" s="10">
        <f>$B$16/D19</f>
        <v>300</v>
      </c>
      <c r="F19" s="11">
        <f>$B$14*D19</f>
        <v>3.3333333333333333E-2</v>
      </c>
      <c r="G19" s="10">
        <f>F19*E19</f>
        <v>10</v>
      </c>
      <c r="H19" s="16">
        <f>IF($B$10&lt;$B$13,$B$10-($B$10*(1/D19)),$B$10+($B$10*(1/D19)))</f>
        <v>3000</v>
      </c>
      <c r="I19" s="17" t="str">
        <f t="shared" ref="I19:I22" si="0">IF(OR(AND($B$10&gt;$B$11,H19&lt;$B$11),AND($B$10&lt;$B$11,H19&gt;$B$11)), "No","Yes")</f>
        <v>No</v>
      </c>
    </row>
    <row r="20" spans="4:9" ht="19" x14ac:dyDescent="0.25">
      <c r="D20" s="6">
        <v>5</v>
      </c>
      <c r="E20" s="10">
        <f t="shared" ref="E20:E23" si="1">$B$16/D20</f>
        <v>60</v>
      </c>
      <c r="F20" s="11">
        <f t="shared" ref="F20:F23" si="2">$B$14*D20</f>
        <v>0.16666666666666666</v>
      </c>
      <c r="G20" s="10">
        <f t="shared" ref="G20:G23" si="3">F20*E20</f>
        <v>10</v>
      </c>
      <c r="H20" s="16">
        <f t="shared" ref="H20:H23" si="4">IF($B$10&lt;$B$13,$B$10-($B$10*(1/D20)),$B$10+($B$10*(1/D20)))</f>
        <v>1800</v>
      </c>
      <c r="I20" s="17" t="str">
        <f t="shared" si="0"/>
        <v>No</v>
      </c>
    </row>
    <row r="21" spans="4:9" ht="19" x14ac:dyDescent="0.25">
      <c r="D21" s="6">
        <v>10</v>
      </c>
      <c r="E21" s="10">
        <f t="shared" si="1"/>
        <v>30</v>
      </c>
      <c r="F21" s="11">
        <f t="shared" si="2"/>
        <v>0.33333333333333331</v>
      </c>
      <c r="G21" s="10">
        <f t="shared" si="3"/>
        <v>10</v>
      </c>
      <c r="H21" s="16">
        <f t="shared" si="4"/>
        <v>1650</v>
      </c>
      <c r="I21" s="17" t="str">
        <f t="shared" si="0"/>
        <v>No</v>
      </c>
    </row>
    <row r="22" spans="4:9" ht="19" x14ac:dyDescent="0.25">
      <c r="D22" s="6">
        <v>25</v>
      </c>
      <c r="E22" s="10">
        <f t="shared" si="1"/>
        <v>12</v>
      </c>
      <c r="F22" s="11">
        <f t="shared" si="2"/>
        <v>0.83333333333333337</v>
      </c>
      <c r="G22" s="10">
        <f t="shared" si="3"/>
        <v>10</v>
      </c>
      <c r="H22" s="16">
        <f t="shared" si="4"/>
        <v>1560</v>
      </c>
      <c r="I22" s="17" t="str">
        <f t="shared" si="0"/>
        <v>No</v>
      </c>
    </row>
    <row r="23" spans="4:9" ht="19" x14ac:dyDescent="0.25">
      <c r="D23" s="6">
        <v>100</v>
      </c>
      <c r="E23" s="10">
        <f t="shared" si="1"/>
        <v>3</v>
      </c>
      <c r="F23" s="11">
        <f t="shared" si="2"/>
        <v>3.3333333333333335</v>
      </c>
      <c r="G23" s="10">
        <f t="shared" si="3"/>
        <v>10</v>
      </c>
      <c r="H23" s="16">
        <f t="shared" si="4"/>
        <v>1515</v>
      </c>
      <c r="I23" s="17" t="str">
        <f>IF(OR(AND($B$10&gt;$B$11,H23&lt;$B$11),AND($B$10&lt;$B$11,H23&gt;$B$11)), "No","Yes")</f>
        <v>Yes</v>
      </c>
    </row>
  </sheetData>
  <conditionalFormatting sqref="I19:I23">
    <cfRule type="containsText" dxfId="0" priority="1" operator="containsText" text="Yes">
      <formula>NOT(ISERROR(SEARCH("Yes",I19)))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2022-09-05T22:48:13Z</dcterms:created>
  <dcterms:modified xsi:type="dcterms:W3CDTF">2022-09-07T02:44:08Z</dcterms:modified>
</cp:coreProperties>
</file>